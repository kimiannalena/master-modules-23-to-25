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i/Desktop/master/sem2/gpm/teil2/"/>
    </mc:Choice>
  </mc:AlternateContent>
  <xr:revisionPtr revIDLastSave="0" documentId="13_ncr:1_{07308692-8F9D-B74A-9AA3-AA96D8ADB37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nträge verwal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G18" i="1"/>
  <c r="C18" i="1"/>
  <c r="G17" i="1"/>
  <c r="J17" i="1" s="1"/>
  <c r="D16" i="1"/>
  <c r="J16" i="1" s="1"/>
  <c r="D15" i="1"/>
  <c r="J15" i="1" s="1"/>
  <c r="D14" i="1"/>
  <c r="E14" i="1" s="1"/>
  <c r="D13" i="1"/>
  <c r="J13" i="1" s="1"/>
  <c r="D12" i="1"/>
  <c r="D18" i="1" s="1"/>
  <c r="G11" i="1"/>
  <c r="J11" i="1" s="1"/>
  <c r="G10" i="1"/>
  <c r="H10" i="1" s="1"/>
  <c r="G9" i="1"/>
  <c r="J9" i="1" s="1"/>
  <c r="K10" i="1" l="1"/>
  <c r="I10" i="1"/>
  <c r="L10" i="1" s="1"/>
  <c r="K14" i="1"/>
  <c r="F14" i="1"/>
  <c r="L14" i="1" s="1"/>
  <c r="H9" i="1"/>
  <c r="J10" i="1"/>
  <c r="J18" i="1" s="1"/>
  <c r="E13" i="1"/>
  <c r="J14" i="1"/>
  <c r="H17" i="1"/>
  <c r="E12" i="1"/>
  <c r="E16" i="1"/>
  <c r="H11" i="1"/>
  <c r="J12" i="1"/>
  <c r="E15" i="1"/>
  <c r="F15" i="1" l="1"/>
  <c r="L15" i="1" s="1"/>
  <c r="K15" i="1"/>
  <c r="K9" i="1"/>
  <c r="I9" i="1"/>
  <c r="H18" i="1"/>
  <c r="I11" i="1"/>
  <c r="L11" i="1" s="1"/>
  <c r="K11" i="1"/>
  <c r="K16" i="1"/>
  <c r="F16" i="1"/>
  <c r="L16" i="1" s="1"/>
  <c r="K12" i="1"/>
  <c r="F12" i="1"/>
  <c r="E18" i="1"/>
  <c r="K17" i="1"/>
  <c r="I17" i="1"/>
  <c r="L17" i="1" s="1"/>
  <c r="K13" i="1"/>
  <c r="F13" i="1"/>
  <c r="L13" i="1" s="1"/>
  <c r="L9" i="1" l="1"/>
  <c r="L18" i="1" s="1"/>
  <c r="I18" i="1"/>
  <c r="L12" i="1"/>
  <c r="F18" i="1"/>
  <c r="K18" i="1"/>
</calcChain>
</file>

<file path=xl/sharedStrings.xml><?xml version="1.0" encoding="utf-8"?>
<sst xmlns="http://schemas.openxmlformats.org/spreadsheetml/2006/main" count="41" uniqueCount="32">
  <si>
    <t xml:space="preserve">Report: </t>
  </si>
  <si>
    <t xml:space="preserve">Resource Planning (Process) </t>
  </si>
  <si>
    <t xml:space="preserve">Date: </t>
  </si>
  <si>
    <t>14.12.2023</t>
  </si>
  <si>
    <t xml:space="preserve">Time: </t>
  </si>
  <si>
    <t>11:17:36</t>
  </si>
  <si>
    <t xml:space="preserve">Name: </t>
  </si>
  <si>
    <t>Anträge verwalten</t>
  </si>
  <si>
    <t xml:space="preserve">Frequency (per year): </t>
  </si>
  <si>
    <t>Personalabteilung - Fachabteilung</t>
  </si>
  <si>
    <t/>
  </si>
  <si>
    <t>Personalabteilung - Sachbearbeiter</t>
  </si>
  <si>
    <t>Total</t>
  </si>
  <si>
    <t>Task</t>
  </si>
  <si>
    <t>Input factor</t>
  </si>
  <si>
    <t>Average processing time [min]</t>
  </si>
  <si>
    <t>Workload [h]</t>
  </si>
  <si>
    <t>Workload [h, incl. contingency allowance]</t>
  </si>
  <si>
    <t>Nr. of full resources</t>
  </si>
  <si>
    <t>Prüfung der eingereichten Unterlagen</t>
  </si>
  <si>
    <t>Klassifizierung des Antrags</t>
  </si>
  <si>
    <t>Weiterleitung des Antrags an die entsprechende Bearbeitungsstelle</t>
  </si>
  <si>
    <t>Bearbeitung des Antrags</t>
  </si>
  <si>
    <t>Benachrichtigung des Antragstellers über die Ablehnung</t>
  </si>
  <si>
    <t>Weiterleitung des Antrags an die entsprechende Instanz oder Abteilung</t>
  </si>
  <si>
    <t>Genehmigung des Antrags und Umsetzung der notwendigen Maßnahmen</t>
  </si>
  <si>
    <t>Benachrichtigung des Antragsstellers</t>
  </si>
  <si>
    <t>Antragsteller informieren</t>
  </si>
  <si>
    <t>Sums</t>
  </si>
  <si>
    <t>IST</t>
  </si>
  <si>
    <t>Fachabteilung</t>
  </si>
  <si>
    <t>Sachbearbeiter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</si>
</sst>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rgb="FF0854A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854A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4" fillId="2" borderId="2" xfId="0" applyFont="1" applyFill="1" applyBorder="1" applyAlignment="1">
      <alignment wrapText="1"/>
    </xf>
    <xf numFmtId="4" fontId="5" fillId="0" borderId="2" xfId="0" applyNumberFormat="1" applyFont="1" applyBorder="1" applyAlignment="1">
      <alignment vertical="top" wrapText="1"/>
    </xf>
    <xf numFmtId="4" fontId="6" fillId="0" borderId="4" xfId="0" applyNumberFormat="1" applyFont="1" applyBorder="1" applyAlignment="1">
      <alignment vertical="top" wrapText="1"/>
    </xf>
    <xf numFmtId="0" fontId="4" fillId="2" borderId="2" xfId="0" applyFont="1" applyFill="1" applyBorder="1" applyAlignment="1">
      <alignment wrapText="1"/>
    </xf>
    <xf numFmtId="4" fontId="5" fillId="3" borderId="2" xfId="0" applyNumberFormat="1" applyFont="1" applyFill="1" applyBorder="1" applyAlignment="1">
      <alignment vertical="top" wrapText="1"/>
    </xf>
    <xf numFmtId="4" fontId="5" fillId="4" borderId="2" xfId="0" applyNumberFormat="1" applyFont="1" applyFill="1" applyBorder="1" applyAlignment="1">
      <alignment vertical="top" wrapText="1"/>
    </xf>
    <xf numFmtId="4" fontId="7" fillId="0" borderId="4" xfId="0" applyNumberFormat="1" applyFont="1" applyBorder="1" applyAlignment="1">
      <alignment vertical="top" wrapText="1"/>
    </xf>
    <xf numFmtId="0" fontId="4" fillId="5" borderId="5" xfId="0" applyFont="1" applyFill="1" applyBorder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1" workbookViewId="0">
      <selection activeCell="B30" sqref="B30"/>
    </sheetView>
  </sheetViews>
  <sheetFormatPr baseColWidth="10" defaultColWidth="8.83203125" defaultRowHeight="15" x14ac:dyDescent="0.2"/>
  <cols>
    <col min="1" max="1" width="35" customWidth="1"/>
    <col min="2" max="12" width="20" customWidth="1"/>
  </cols>
  <sheetData>
    <row r="1" spans="1:12" x14ac:dyDescent="0.2">
      <c r="A1" s="1" t="s">
        <v>0</v>
      </c>
      <c r="B1" s="2" t="s">
        <v>1</v>
      </c>
      <c r="C1" s="3"/>
    </row>
    <row r="2" spans="1:12" x14ac:dyDescent="0.2">
      <c r="A2" s="1" t="s">
        <v>2</v>
      </c>
      <c r="B2" s="2" t="s">
        <v>3</v>
      </c>
      <c r="C2" s="3"/>
    </row>
    <row r="3" spans="1:12" x14ac:dyDescent="0.2">
      <c r="A3" s="1" t="s">
        <v>4</v>
      </c>
      <c r="B3" s="2" t="s">
        <v>5</v>
      </c>
      <c r="C3" s="3"/>
    </row>
    <row r="4" spans="1:12" x14ac:dyDescent="0.2">
      <c r="A4" s="1"/>
      <c r="B4" s="2"/>
      <c r="C4" s="3"/>
    </row>
    <row r="5" spans="1:12" x14ac:dyDescent="0.2">
      <c r="A5" s="1" t="s">
        <v>6</v>
      </c>
      <c r="B5" s="2" t="s">
        <v>7</v>
      </c>
      <c r="C5" s="3"/>
    </row>
    <row r="6" spans="1:12" x14ac:dyDescent="0.2">
      <c r="A6" s="1" t="s">
        <v>8</v>
      </c>
      <c r="B6" s="2">
        <v>3125</v>
      </c>
      <c r="C6" s="3"/>
    </row>
    <row r="7" spans="1:12" x14ac:dyDescent="0.2">
      <c r="A7" s="4"/>
      <c r="B7" s="4"/>
      <c r="C7" s="4"/>
      <c r="D7" s="7" t="s">
        <v>9</v>
      </c>
      <c r="E7" s="7" t="s">
        <v>10</v>
      </c>
      <c r="F7" s="7" t="s">
        <v>10</v>
      </c>
      <c r="G7" s="7" t="s">
        <v>11</v>
      </c>
      <c r="H7" s="7" t="s">
        <v>10</v>
      </c>
      <c r="I7" s="7" t="s">
        <v>10</v>
      </c>
      <c r="J7" s="7" t="s">
        <v>12</v>
      </c>
      <c r="K7" s="7"/>
      <c r="L7" s="7"/>
    </row>
    <row r="8" spans="1:12" ht="28" x14ac:dyDescent="0.2">
      <c r="A8" s="5" t="s">
        <v>13</v>
      </c>
      <c r="B8" s="5" t="s">
        <v>14</v>
      </c>
      <c r="C8" s="5" t="s">
        <v>15</v>
      </c>
      <c r="D8" s="9" t="s">
        <v>16</v>
      </c>
      <c r="E8" s="9" t="s">
        <v>17</v>
      </c>
      <c r="F8" s="9" t="s">
        <v>18</v>
      </c>
      <c r="G8" s="8" t="s">
        <v>16</v>
      </c>
      <c r="H8" s="8" t="s">
        <v>17</v>
      </c>
      <c r="I8" s="8" t="s">
        <v>18</v>
      </c>
      <c r="J8" s="5" t="s">
        <v>16</v>
      </c>
      <c r="K8" s="5" t="s">
        <v>17</v>
      </c>
      <c r="L8" s="5" t="s">
        <v>18</v>
      </c>
    </row>
    <row r="9" spans="1:12" x14ac:dyDescent="0.2">
      <c r="A9" s="5" t="s">
        <v>19</v>
      </c>
      <c r="B9" s="5">
        <v>1</v>
      </c>
      <c r="C9" s="5">
        <v>10</v>
      </c>
      <c r="D9" s="9"/>
      <c r="E9" s="9"/>
      <c r="F9" s="9"/>
      <c r="G9" s="8">
        <f>B6*B9*C9/60</f>
        <v>520.83333333333337</v>
      </c>
      <c r="H9" s="8">
        <f>G9*1.15</f>
        <v>598.95833333333337</v>
      </c>
      <c r="I9" s="8">
        <f>H9/1540</f>
        <v>0.38893398268398272</v>
      </c>
      <c r="J9" s="5">
        <f t="shared" ref="J9:J17" si="0">D9+G9</f>
        <v>520.83333333333337</v>
      </c>
      <c r="K9" s="5">
        <f t="shared" ref="K9:K17" si="1">E9+H9</f>
        <v>598.95833333333337</v>
      </c>
      <c r="L9" s="5">
        <f t="shared" ref="L9:L17" si="2">F9+I9</f>
        <v>0.38893398268398272</v>
      </c>
    </row>
    <row r="10" spans="1:12" x14ac:dyDescent="0.2">
      <c r="A10" s="5" t="s">
        <v>20</v>
      </c>
      <c r="B10" s="5">
        <v>0.8</v>
      </c>
      <c r="C10" s="5">
        <v>1</v>
      </c>
      <c r="D10" s="9"/>
      <c r="E10" s="9"/>
      <c r="F10" s="9"/>
      <c r="G10" s="8">
        <f>B6*B10*C10/60</f>
        <v>41.666666666666664</v>
      </c>
      <c r="H10" s="8">
        <f>G10*1.15</f>
        <v>47.916666666666657</v>
      </c>
      <c r="I10" s="8">
        <f>H10/1540</f>
        <v>3.1114718614718609E-2</v>
      </c>
      <c r="J10" s="5">
        <f t="shared" si="0"/>
        <v>41.666666666666664</v>
      </c>
      <c r="K10" s="5">
        <f t="shared" si="1"/>
        <v>47.916666666666657</v>
      </c>
      <c r="L10" s="5">
        <f t="shared" si="2"/>
        <v>3.1114718614718609E-2</v>
      </c>
    </row>
    <row r="11" spans="1:12" ht="28" x14ac:dyDescent="0.2">
      <c r="A11" s="5" t="s">
        <v>21</v>
      </c>
      <c r="B11" s="5">
        <v>0.8</v>
      </c>
      <c r="C11" s="5">
        <v>5</v>
      </c>
      <c r="D11" s="9"/>
      <c r="E11" s="9"/>
      <c r="F11" s="9"/>
      <c r="G11" s="8">
        <f>B6*B11*C11/60</f>
        <v>208.33333333333334</v>
      </c>
      <c r="H11" s="8">
        <f>G11*1.15</f>
        <v>239.58333333333331</v>
      </c>
      <c r="I11" s="8">
        <f>H11/1540</f>
        <v>0.15557359307359306</v>
      </c>
      <c r="J11" s="5">
        <f t="shared" si="0"/>
        <v>208.33333333333334</v>
      </c>
      <c r="K11" s="5">
        <f t="shared" si="1"/>
        <v>239.58333333333331</v>
      </c>
      <c r="L11" s="5">
        <f t="shared" si="2"/>
        <v>0.15557359307359306</v>
      </c>
    </row>
    <row r="12" spans="1:12" x14ac:dyDescent="0.2">
      <c r="A12" s="5" t="s">
        <v>22</v>
      </c>
      <c r="B12" s="5">
        <v>0.84077770844755639</v>
      </c>
      <c r="C12" s="5">
        <v>20</v>
      </c>
      <c r="D12" s="9">
        <f>B6*B12*C12/60</f>
        <v>875.81011296620454</v>
      </c>
      <c r="E12" s="9">
        <f>D12*1.15</f>
        <v>1007.1816299111351</v>
      </c>
      <c r="F12" s="9">
        <f>E12/1540</f>
        <v>0.65401404539684105</v>
      </c>
      <c r="G12" s="8"/>
      <c r="H12" s="8"/>
      <c r="I12" s="8"/>
      <c r="J12" s="5">
        <f t="shared" si="0"/>
        <v>875.81011296620454</v>
      </c>
      <c r="K12" s="5">
        <f t="shared" si="1"/>
        <v>1007.1816299111351</v>
      </c>
      <c r="L12" s="5">
        <f t="shared" si="2"/>
        <v>0.65401404539684105</v>
      </c>
    </row>
    <row r="13" spans="1:12" ht="28" x14ac:dyDescent="0.2">
      <c r="A13" s="5" t="s">
        <v>23</v>
      </c>
      <c r="B13" s="5">
        <v>0.24466625068533854</v>
      </c>
      <c r="C13" s="5">
        <v>1</v>
      </c>
      <c r="D13" s="9">
        <f>B6*B13*C13/60</f>
        <v>12.743033889861382</v>
      </c>
      <c r="E13" s="9">
        <f>D13*1.15</f>
        <v>14.654488973340587</v>
      </c>
      <c r="F13" s="9">
        <f>E13/1540</f>
        <v>9.515901930740641E-3</v>
      </c>
      <c r="G13" s="8"/>
      <c r="H13" s="8"/>
      <c r="I13" s="8"/>
      <c r="J13" s="5">
        <f t="shared" si="0"/>
        <v>12.743033889861382</v>
      </c>
      <c r="K13" s="5">
        <f t="shared" si="1"/>
        <v>14.654488973340587</v>
      </c>
      <c r="L13" s="5">
        <f t="shared" si="2"/>
        <v>9.515901930740641E-3</v>
      </c>
    </row>
    <row r="14" spans="1:12" ht="28" x14ac:dyDescent="0.2">
      <c r="A14" s="5" t="s">
        <v>24</v>
      </c>
      <c r="B14" s="5">
        <v>4.0777708447556432E-2</v>
      </c>
      <c r="C14" s="5">
        <v>5</v>
      </c>
      <c r="D14" s="9">
        <f>B6*B14*C14/60</f>
        <v>10.619194908217821</v>
      </c>
      <c r="E14" s="9">
        <f>D14*1.15</f>
        <v>12.212074144450494</v>
      </c>
      <c r="F14" s="9">
        <f>E14/1540</f>
        <v>7.9299182756172037E-3</v>
      </c>
      <c r="G14" s="8"/>
      <c r="H14" s="8"/>
      <c r="I14" s="8"/>
      <c r="J14" s="5">
        <f t="shared" si="0"/>
        <v>10.619194908217821</v>
      </c>
      <c r="K14" s="5">
        <f t="shared" si="1"/>
        <v>12.212074144450494</v>
      </c>
      <c r="L14" s="5">
        <f t="shared" si="2"/>
        <v>7.9299182756172037E-3</v>
      </c>
    </row>
    <row r="15" spans="1:12" ht="28" x14ac:dyDescent="0.2">
      <c r="A15" s="5" t="s">
        <v>25</v>
      </c>
      <c r="B15" s="5">
        <v>0.55533353463115509</v>
      </c>
      <c r="C15" s="5">
        <v>10</v>
      </c>
      <c r="D15" s="9">
        <f>B6*B15*C15/60</f>
        <v>289.23621595372663</v>
      </c>
      <c r="E15" s="9">
        <f>D15*1.15</f>
        <v>332.62164834678561</v>
      </c>
      <c r="F15" s="9">
        <f>E15/1540</f>
        <v>0.21598808334206857</v>
      </c>
      <c r="G15" s="8"/>
      <c r="H15" s="8"/>
      <c r="I15" s="8"/>
      <c r="J15" s="5">
        <f t="shared" si="0"/>
        <v>289.23621595372663</v>
      </c>
      <c r="K15" s="5">
        <f t="shared" si="1"/>
        <v>332.62164834678561</v>
      </c>
      <c r="L15" s="5">
        <f t="shared" si="2"/>
        <v>0.21598808334206857</v>
      </c>
    </row>
    <row r="16" spans="1:12" x14ac:dyDescent="0.2">
      <c r="A16" s="5" t="s">
        <v>26</v>
      </c>
      <c r="B16" s="5">
        <v>0.55533353463115509</v>
      </c>
      <c r="C16" s="5">
        <v>1</v>
      </c>
      <c r="D16" s="9">
        <f>B6*B16*C16/60</f>
        <v>28.923621595372662</v>
      </c>
      <c r="E16" s="9">
        <f>D16*1.15</f>
        <v>33.262164834678558</v>
      </c>
      <c r="F16" s="9">
        <f>E16/1540</f>
        <v>2.1598808334206857E-2</v>
      </c>
      <c r="G16" s="8"/>
      <c r="H16" s="8"/>
      <c r="I16" s="8"/>
      <c r="J16" s="5">
        <f t="shared" si="0"/>
        <v>28.923621595372662</v>
      </c>
      <c r="K16" s="5">
        <f t="shared" si="1"/>
        <v>33.262164834678558</v>
      </c>
      <c r="L16" s="5">
        <f t="shared" si="2"/>
        <v>2.1598808334206857E-2</v>
      </c>
    </row>
    <row r="17" spans="1:12" x14ac:dyDescent="0.2">
      <c r="A17" s="5" t="s">
        <v>27</v>
      </c>
      <c r="B17" s="5">
        <v>0.2</v>
      </c>
      <c r="C17" s="5">
        <v>3</v>
      </c>
      <c r="D17" s="9"/>
      <c r="E17" s="9"/>
      <c r="F17" s="9"/>
      <c r="G17" s="8">
        <f>B6*B17*C17/60</f>
        <v>31.25</v>
      </c>
      <c r="H17" s="8">
        <f>G17*1.15</f>
        <v>35.9375</v>
      </c>
      <c r="I17" s="8">
        <f>H17/1540</f>
        <v>2.333603896103896E-2</v>
      </c>
      <c r="J17" s="5">
        <f t="shared" si="0"/>
        <v>31.25</v>
      </c>
      <c r="K17" s="5">
        <f t="shared" si="1"/>
        <v>35.9375</v>
      </c>
      <c r="L17" s="5">
        <f t="shared" si="2"/>
        <v>2.333603896103896E-2</v>
      </c>
    </row>
    <row r="18" spans="1:12" x14ac:dyDescent="0.2">
      <c r="A18" s="6" t="s">
        <v>28</v>
      </c>
      <c r="B18" s="6"/>
      <c r="C18" s="6">
        <f>B9*C9+B10*C10+B11*C11+B12*C12+B13*C13+B14*C14+B15*C15+B16*C16+B17*C17</f>
        <v>38.77277784281695</v>
      </c>
      <c r="D18" s="6">
        <f t="shared" ref="D18:L18" si="3">SUM(D9:D17)</f>
        <v>1217.332179313383</v>
      </c>
      <c r="E18" s="6">
        <f t="shared" si="3"/>
        <v>1399.9320062103902</v>
      </c>
      <c r="F18" s="10">
        <f t="shared" si="3"/>
        <v>0.90904675727947426</v>
      </c>
      <c r="G18" s="6">
        <f t="shared" si="3"/>
        <v>802.08333333333337</v>
      </c>
      <c r="H18" s="6">
        <f t="shared" si="3"/>
        <v>922.39583333333326</v>
      </c>
      <c r="I18" s="10">
        <f t="shared" si="3"/>
        <v>0.59895833333333337</v>
      </c>
      <c r="J18" s="6">
        <f t="shared" si="3"/>
        <v>2019.4155126467165</v>
      </c>
      <c r="K18" s="6">
        <f t="shared" si="3"/>
        <v>2322.3278395437237</v>
      </c>
      <c r="L18" s="10">
        <f t="shared" si="3"/>
        <v>1.5080050906128077</v>
      </c>
    </row>
    <row r="21" spans="1:12" x14ac:dyDescent="0.2">
      <c r="A21" s="11"/>
      <c r="B21" s="11" t="s">
        <v>29</v>
      </c>
    </row>
    <row r="22" spans="1:12" x14ac:dyDescent="0.2">
      <c r="A22" s="11" t="s">
        <v>30</v>
      </c>
      <c r="B22" s="12">
        <f>F18</f>
        <v>0.90904675727947426</v>
      </c>
    </row>
    <row r="23" spans="1:12" x14ac:dyDescent="0.2">
      <c r="A23" s="11" t="s">
        <v>31</v>
      </c>
      <c r="B23" s="12">
        <f>I18</f>
        <v>0.59895833333333337</v>
      </c>
    </row>
  </sheetData>
  <mergeCells count="3">
    <mergeCell ref="D7:F7"/>
    <mergeCell ref="G7:I7"/>
    <mergeCell ref="J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Anträge verwalten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Kimberly Munjal</cp:lastModifiedBy>
  <dcterms:created xsi:type="dcterms:W3CDTF">2023-12-14T11:17:36Z</dcterms:created>
  <dcterms:modified xsi:type="dcterms:W3CDTF">2023-12-14T11:32:27Z</dcterms:modified>
</cp:coreProperties>
</file>